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56AB3FF-1DCC-42FE-B7F8-772471B7C932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despesa_funcao (1)" sheetId="1" r:id="rId1"/>
    <sheet name="Planilha2" sheetId="3" r:id="rId2"/>
    <sheet name="Planilha1" sheetId="2" r:id="rId3"/>
  </sheets>
  <calcPr calcId="191029"/>
  <pivotCaches>
    <pivotCache cacheId="11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<sst xmlns="http://schemas.openxmlformats.org/spreadsheetml/2006/main" count="2707" uniqueCount="568">
  <si>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</si>
  <si>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</si>
  <si>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</si>
  <si>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</si>
  <si>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</si>
  <si>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</si>
  <si>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</si>
  <si>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</si>
  <si>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</si>
  <si>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</si>
  <si>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</si>
  <si>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</si>
  <si>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</si>
  <si>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</si>
  <si>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</si>
  <si>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</si>
  <si>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</si>
  <si>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</si>
  <si>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</si>
  <si>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</si>
  <si>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</si>
  <si>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</si>
  <si>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</si>
  <si>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</si>
  <si>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</si>
  <si>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</si>
  <si>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</si>
  <si>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</si>
  <si>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</si>
  <si>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</si>
  <si>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</si>
  <si>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</si>
  <si>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</si>
  <si>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</si>
  <si>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</si>
  <si>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</si>
  <si>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</si>
  <si>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</si>
  <si>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</si>
  <si>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</si>
  <si>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</si>
  <si>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</si>
  <si>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</si>
  <si>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</si>
  <si>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</si>
  <si>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</si>
  <si>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</si>
  <si>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</si>
  <si>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</si>
  <si>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</si>
  <si>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</si>
  <si>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</si>
  <si>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</si>
  <si>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</si>
  <si>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</si>
  <si>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</si>
  <si>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</si>
  <si>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</si>
  <si>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</si>
  <si>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</si>
  <si>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</si>
  <si>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</si>
  <si>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</si>
  <si>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</si>
  <si>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</si>
  <si>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</si>
  <si>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</si>
  <si>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</si>
  <si>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</si>
  <si>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</si>
  <si>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</si>
  <si>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</si>
  <si>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</si>
  <si>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</si>
  <si>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</si>
  <si>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</si>
  <si>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</si>
  <si>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</si>
  <si>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</si>
  <si>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</si>
  <si>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</si>
  <si>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</si>
  <si>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</si>
  <si>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</si>
  <si>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</si>
  <si>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</si>
  <si>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</si>
  <si>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</si>
  <si>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</si>
  <si>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</si>
  <si>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</si>
  <si>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</si>
  <si>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</si>
  <si>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</si>
  <si>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</si>
  <si>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</si>
  <si>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</si>
  <si>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</si>
  <si>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</si>
  <si>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</si>
  <si>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</si>
  <si>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</si>
  <si>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</si>
  <si>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</si>
  <si>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</si>
  <si>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</si>
  <si>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</si>
  <si>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</si>
  <si>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</si>
  <si>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</si>
  <si>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</si>
  <si>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</si>
  <si>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</si>
  <si>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</si>
  <si>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</si>
  <si>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</si>
  <si>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</si>
  <si>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</si>
  <si>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</si>
  <si>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</si>
  <si>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</si>
  <si>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</si>
  <si>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</si>
  <si>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</si>
  <si>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</si>
  <si>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</si>
  <si>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</si>
  <si>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</si>
  <si>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</si>
  <si>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</si>
  <si>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</si>
  <si>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</si>
  <si>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</si>
  <si>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</si>
  <si>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</si>
  <si>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</si>
  <si>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</si>
  <si>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</si>
  <si>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</si>
  <si>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</si>
  <si>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</si>
  <si>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</si>
  <si>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</si>
  <si>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</si>
  <si>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</si>
  <si>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</si>
  <si>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</si>
  <si>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</si>
  <si>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</si>
  <si>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</si>
  <si>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</si>
  <si>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</si>
  <si>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</si>
  <si>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</si>
  <si>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</si>
  <si>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</si>
  <si>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</si>
  <si>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</si>
  <si>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</si>
  <si>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</si>
  <si>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</si>
  <si>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</si>
  <si>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</si>
  <si>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</si>
  <si>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</si>
  <si>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</si>
  <si>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</si>
  <si>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</si>
  <si>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</si>
  <si>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</si>
  <si>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</si>
  <si>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</si>
  <si>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</si>
  <si>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</si>
  <si>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</si>
  <si>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</si>
  <si>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</si>
  <si>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</si>
  <si>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</si>
  <si>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</si>
  <si>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</si>
  <si>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</si>
  <si>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</si>
  <si>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</si>
  <si>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</si>
  <si>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</si>
  <si>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</si>
  <si>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</si>
  <si>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</si>
  <si>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</si>
  <si>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</si>
  <si>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</si>
  <si>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</si>
  <si>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</si>
  <si>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</si>
  <si>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</si>
  <si>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</si>
  <si>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</si>
  <si>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</si>
  <si>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</si>
  <si>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</si>
  <si>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</si>
  <si>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</si>
  <si>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</si>
  <si>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</si>
  <si>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</si>
  <si>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</si>
  <si>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</si>
  <si>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</si>
  <si>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</si>
  <si>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</si>
  <si>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</si>
  <si>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</si>
  <si>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</si>
  <si>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</si>
  <si>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</si>
  <si>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</si>
  <si>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</si>
  <si>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</si>
  <si>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</si>
  <si>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</si>
  <si>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</si>
  <si>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</si>
  <si>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</si>
  <si>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</si>
  <si>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</si>
  <si>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</si>
  <si>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</si>
  <si>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</si>
  <si>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</si>
  <si>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</si>
  <si>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</si>
  <si>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</si>
  <si>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</si>
  <si>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</si>
  <si>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</si>
  <si>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</si>
  <si>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</si>
  <si>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</si>
  <si>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</si>
  <si>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</si>
  <si>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</si>
  <si>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</si>
  <si>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</si>
  <si>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</si>
  <si>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</si>
  <si>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</si>
  <si>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</si>
  <si>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</si>
  <si>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</si>
  <si>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</si>
  <si>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</si>
  <si>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</si>
  <si>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</si>
  <si>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</si>
  <si>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</si>
  <si>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</si>
  <si>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</si>
  <si>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</si>
  <si>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</si>
  <si>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</si>
  <si>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</si>
  <si>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</si>
  <si>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</si>
  <si>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</si>
  <si>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</si>
  <si>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</si>
  <si>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</si>
  <si>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</si>
  <si>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</si>
  <si>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</si>
  <si>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</si>
  <si>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</si>
  <si>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</si>
  <si>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</si>
  <si>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</si>
  <si>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</si>
  <si>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</si>
  <si>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</si>
  <si>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</si>
  <si>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</si>
  <si>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</si>
  <si>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</si>
  <si>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</si>
  <si>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</si>
  <si>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</si>
  <si>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</si>
  <si>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</si>
  <si>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</si>
  <si>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</si>
  <si>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</si>
  <si>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</si>
  <si>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</si>
  <si>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</si>
  <si>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</si>
  <si>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</si>
  <si>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</si>
  <si>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</si>
  <si>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</si>
  <si>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</si>
  <si>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</si>
  <si>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</si>
  <si>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</si>
  <si>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</si>
  <si>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</si>
  <si>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</si>
  <si>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</si>
  <si>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</si>
  <si>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</si>
  <si>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</si>
  <si>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</si>
  <si>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</si>
  <si>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</si>
  <si>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</si>
  <si>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</si>
  <si>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</si>
  <si>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</si>
  <si>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</si>
  <si>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</si>
  <si>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</si>
  <si>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</si>
  <si>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</si>
  <si>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</si>
  <si>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</si>
  <si>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</si>
  <si>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</si>
  <si>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</si>
  <si>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</si>
  <si>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</si>
  <si>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</si>
  <si>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</si>
  <si>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</si>
  <si>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</si>
  <si>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</si>
  <si>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</si>
  <si>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</si>
  <si>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</si>
  <si>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</si>
  <si>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</si>
  <si>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</si>
  <si>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</si>
  <si>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</si>
  <si>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</si>
  <si>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</si>
  <si>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</si>
  <si>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</si>
  <si>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</si>
  <si>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</si>
  <si>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</si>
  <si>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</si>
  <si>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</si>
  <si>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</si>
  <si>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</si>
  <si>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</si>
  <si>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</si>
  <si>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</si>
  <si>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</si>
  <si>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</si>
  <si>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</si>
  <si>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</si>
  <si>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</si>
  <si>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</si>
  <si>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</si>
  <si>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</si>
  <si>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</si>
  <si>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</si>
  <si>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</si>
  <si>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</si>
  <si>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</si>
  <si>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</si>
  <si>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</si>
  <si>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</si>
  <si>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</si>
  <si>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</si>
  <si>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</si>
  <si>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</si>
  <si>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</si>
  <si>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</si>
  <si>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</si>
  <si>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</si>
  <si>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</si>
  <si>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</si>
  <si>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</si>
  <si>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</si>
  <si>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</si>
  <si>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</si>
  <si>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</si>
  <si>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</si>
  <si>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</si>
  <si>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</si>
  <si>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</si>
  <si>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</si>
  <si>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</si>
  <si>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</si>
  <si>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</si>
  <si>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</si>
  <si>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</si>
  <si>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</si>
  <si>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</si>
  <si>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</si>
  <si>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</si>
  <si>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</si>
  <si>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</si>
  <si>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</si>
  <si>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</si>
  <si>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</si>
  <si>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</si>
  <si>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</si>
  <si>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</si>
  <si>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</si>
  <si>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</si>
  <si>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</si>
  <si>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</si>
  <si>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</si>
  <si>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</si>
  <si>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</si>
  <si>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</si>
  <si>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</si>
  <si>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</si>
  <si>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</si>
  <si>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</si>
  <si>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</si>
  <si>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</si>
  <si>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</si>
  <si>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</si>
  <si>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</si>
  <si>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</si>
  <si>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</si>
  <si>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</si>
  <si>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</si>
  <si>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</si>
  <si>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</si>
  <si>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</si>
  <si>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</si>
  <si>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</si>
  <si>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</si>
  <si>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</si>
  <si>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</si>
  <si>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</si>
  <si>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</si>
  <si>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</si>
  <si>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</si>
  <si>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</si>
  <si>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</si>
  <si>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</si>
  <si>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</si>
  <si>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</si>
  <si>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</si>
  <si>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</si>
  <si>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</si>
  <si>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</si>
  <si>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</si>
  <si>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</si>
  <si>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</si>
  <si>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</si>
  <si>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</si>
  <si>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</si>
  <si>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</si>
  <si>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</si>
  <si>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</si>
  <si>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</si>
  <si>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</si>
  <si>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</si>
  <si>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</si>
  <si>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</si>
  <si>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</si>
  <si>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</si>
  <si>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</si>
  <si>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</si>
  <si>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</si>
  <si>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</si>
  <si>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</si>
  <si>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</si>
  <si>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</si>
  <si>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</si>
  <si>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</si>
  <si>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</si>
  <si>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</si>
  <si>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</si>
  <si>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</si>
  <si>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</si>
  <si>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</si>
  <si>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</si>
  <si>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</si>
  <si>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</si>
  <si>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</si>
  <si>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</si>
  <si>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</si>
  <si>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</si>
  <si>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</si>
  <si>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</si>
  <si>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</si>
  <si>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</si>
  <si>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</si>
  <si>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</si>
  <si>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</si>
  <si>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</si>
  <si>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</si>
  <si>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</si>
  <si>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</si>
  <si>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</si>
  <si>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</si>
  <si>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</si>
  <si>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</si>
  <si>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</si>
  <si>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</si>
  <si>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</si>
  <si>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</si>
  <si>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</si>
  <si>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</si>
  <si>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</si>
  <si>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</si>
  <si>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</si>
  <si>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</si>
  <si>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</si>
  <si>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</si>
  <si>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</si>
  <si>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</si>
  <si>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</si>
  <si>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</si>
  <si>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</si>
  <si>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</si>
  <si>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</si>
  <si>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</si>
  <si>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</si>
  <si>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</si>
  <si>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</si>
  <si>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</si>
  <si>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</si>
  <si>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</si>
  <si>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</si>
  <si>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</si>
  <si>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</si>
  <si>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</si>
  <si>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</si>
  <si>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</si>
  <si>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</si>
  <si>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</si>
  <si>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</si>
  <si>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</si>
  <si>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</si>
  <si>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</si>
  <si>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</si>
  <si>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</si>
  <si>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</si>
  <si>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</si>
  <si>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</si>
  <si>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</si>
  <si>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</si>
  <si>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</si>
  <si>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</si>
  <si>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</si>
  <si>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</si>
  <si>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</si>
  <si>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</si>
  <si>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</si>
  <si>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</si>
  <si>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</si>
  <si>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</si>
  <si>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</si>
  <si>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</si>
  <si>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</si>
  <si>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</si>
  <si>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pago</t>
  </si>
  <si>
    <t>Total de itens</t>
  </si>
  <si>
    <t>Rótulos de Linha</t>
  </si>
  <si>
    <t>Total Geral</t>
  </si>
  <si>
    <t>Soma de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</si>
</sst>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44" fontId="0" fillId="0" borderId="10" xfId="42" applyFont="1" applyBorder="1"/>
    <xf numFmtId="0" fontId="0" fillId="0" borderId="10" xfId="0" quotePrefix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 (1).xlsx]Planilha2!Tabela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Planilha2!$A$4:$A$20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Planilha2!$B$4:$B$20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4-4123-A8F2-8FC3D080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8845312"/>
        <c:axId val="1960350928"/>
      </c:barChart>
      <c:catAx>
        <c:axId val="196884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350928"/>
        <c:crosses val="autoZero"/>
        <c:auto val="1"/>
        <c:lblAlgn val="ctr"/>
        <c:lblOffset val="100"/>
        <c:noMultiLvlLbl val="0"/>
      </c:catAx>
      <c:valAx>
        <c:axId val="19603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884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0"/>
            <a:lumOff val="100000"/>
          </a:schemeClr>
        </a:gs>
        <a:gs pos="71000">
          <a:schemeClr val="accent1">
            <a:lumMod val="45000"/>
            <a:lumOff val="55000"/>
          </a:schemeClr>
        </a:gs>
        <a:gs pos="9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95249</xdr:rowOff>
    </xdr:from>
    <xdr:to>
      <xdr:col>11</xdr:col>
      <xdr:colOff>85725</xdr:colOff>
      <xdr:row>26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CF1292-9EF0-4C1D-AB35-5DC7A475C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902230324071" createdVersion="6" refreshedVersion="6" minRefreshableVersion="3" recordCount="16" xr:uid="{436972CF-2A61-4655-947D-BA588CA05F05}">
  <cacheSource type="worksheet">
    <worksheetSource ref="A1:C17" sheet="Planilha1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" numFmtId="4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 count="12">
        <n v="1"/>
        <n v="21"/>
        <n v="16"/>
        <n v="13"/>
        <n v="88"/>
        <n v="23"/>
        <n v="25"/>
        <n v="15"/>
        <n v="115"/>
        <n v="22"/>
        <n v="14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67673.06"/>
    <x v="0"/>
  </r>
  <r>
    <x v="1"/>
    <n v="3049447.7499999995"/>
    <x v="1"/>
  </r>
  <r>
    <x v="2"/>
    <n v="1182770.0299999998"/>
    <x v="2"/>
  </r>
  <r>
    <x v="3"/>
    <n v="8665883.370000001"/>
    <x v="2"/>
  </r>
  <r>
    <x v="4"/>
    <n v="1644914.53"/>
    <x v="2"/>
  </r>
  <r>
    <x v="5"/>
    <n v="2361341.12"/>
    <x v="3"/>
  </r>
  <r>
    <x v="6"/>
    <n v="97415941.840000004"/>
    <x v="4"/>
  </r>
  <r>
    <x v="7"/>
    <n v="5975771.5599999996"/>
    <x v="5"/>
  </r>
  <r>
    <x v="8"/>
    <n v="8654354.950000003"/>
    <x v="6"/>
  </r>
  <r>
    <x v="9"/>
    <n v="25107843.960000001"/>
    <x v="7"/>
  </r>
  <r>
    <x v="10"/>
    <n v="84243777.629999995"/>
    <x v="8"/>
  </r>
  <r>
    <x v="11"/>
    <n v="30679165.420000002"/>
    <x v="9"/>
  </r>
  <r>
    <x v="12"/>
    <n v="474178.14999999997"/>
    <x v="10"/>
  </r>
  <r>
    <x v="13"/>
    <n v="5438913.9299999978"/>
    <x v="1"/>
  </r>
  <r>
    <x v="14"/>
    <n v="37463150.299999997"/>
    <x v="11"/>
  </r>
  <r>
    <x v="15"/>
    <n v="924217.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44186-0BE5-4324-B8C1-836DFF587C7A}" name="Tabela dinâmica5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20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>
      <items count="13">
        <item x="0"/>
        <item x="3"/>
        <item x="10"/>
        <item x="7"/>
        <item x="2"/>
        <item x="1"/>
        <item x="9"/>
        <item x="5"/>
        <item x="11"/>
        <item x="6"/>
        <item x="4"/>
        <item x="8"/>
        <item t="default"/>
      </items>
    </pivotField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workbookViewId="0">
      <selection activeCell="A3" sqref="A3"/>
    </sheetView>
  </sheetViews>
  <sheetFormatPr defaultRowHeight="15" x14ac:dyDescent="0.25"/>
  <cols>
    <col min="2" max="2" width="4.7109375" bestFit="1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5.7109375" bestFit="1" customWidth="1"/>
    <col min="10" max="10" width="14.28515625" bestFit="1" customWidth="1"/>
    <col min="11" max="11" width="12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5990-DFC1-4081-A95B-FB6D5E933E25}">
  <dimension ref="A3:B20"/>
  <sheetViews>
    <sheetView tabSelected="1" workbookViewId="0">
      <selection activeCell="C29" sqref="C29"/>
    </sheetView>
  </sheetViews>
  <sheetFormatPr defaultRowHeight="15" x14ac:dyDescent="0.25"/>
  <cols>
    <col min="1" max="1" width="57.42578125" bestFit="1" customWidth="1"/>
    <col min="2" max="2" width="18.42578125" bestFit="1" customWidth="1"/>
    <col min="3" max="3" width="11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  <col min="9" max="11" width="11" bestFit="1" customWidth="1"/>
    <col min="12" max="14" width="12" bestFit="1" customWidth="1"/>
  </cols>
  <sheetData>
    <row r="3" spans="1:2" x14ac:dyDescent="0.25">
      <c r="A3" s="7" t="s">
        <v>565</v>
      </c>
      <c r="B3" t="s">
        <v>567</v>
      </c>
    </row>
    <row r="4" spans="1:2" x14ac:dyDescent="0.25">
      <c r="A4" s="8" t="s">
        <v>12</v>
      </c>
      <c r="B4" s="9">
        <v>67673.06</v>
      </c>
    </row>
    <row r="5" spans="1:2" x14ac:dyDescent="0.25">
      <c r="A5" s="8" t="s">
        <v>464</v>
      </c>
      <c r="B5" s="9">
        <v>474178.14999999997</v>
      </c>
    </row>
    <row r="6" spans="1:2" x14ac:dyDescent="0.25">
      <c r="A6" s="8" t="s">
        <v>548</v>
      </c>
      <c r="B6" s="9">
        <v>924217.23</v>
      </c>
    </row>
    <row r="7" spans="1:2" x14ac:dyDescent="0.25">
      <c r="A7" s="8" t="s">
        <v>52</v>
      </c>
      <c r="B7" s="9">
        <v>1182770.0299999998</v>
      </c>
    </row>
    <row r="8" spans="1:2" x14ac:dyDescent="0.25">
      <c r="A8" s="8" t="s">
        <v>92</v>
      </c>
      <c r="B8" s="9">
        <v>1644914.53</v>
      </c>
    </row>
    <row r="9" spans="1:2" x14ac:dyDescent="0.25">
      <c r="A9" s="8" t="s">
        <v>115</v>
      </c>
      <c r="B9" s="9">
        <v>2361341.12</v>
      </c>
    </row>
    <row r="10" spans="1:2" x14ac:dyDescent="0.25">
      <c r="A10" s="8" t="s">
        <v>18</v>
      </c>
      <c r="B10" s="9">
        <v>3049447.7499999995</v>
      </c>
    </row>
    <row r="11" spans="1:2" x14ac:dyDescent="0.25">
      <c r="A11" s="8" t="s">
        <v>486</v>
      </c>
      <c r="B11" s="9">
        <v>5438913.9299999978</v>
      </c>
    </row>
    <row r="12" spans="1:2" x14ac:dyDescent="0.25">
      <c r="A12" s="8" t="s">
        <v>236</v>
      </c>
      <c r="B12" s="9">
        <v>5975771.5599999996</v>
      </c>
    </row>
    <row r="13" spans="1:2" x14ac:dyDescent="0.25">
      <c r="A13" s="8" t="s">
        <v>262</v>
      </c>
      <c r="B13" s="9">
        <v>8654354.950000003</v>
      </c>
    </row>
    <row r="14" spans="1:2" x14ac:dyDescent="0.25">
      <c r="A14" s="8" t="s">
        <v>74</v>
      </c>
      <c r="B14" s="9">
        <v>8665883.370000001</v>
      </c>
    </row>
    <row r="15" spans="1:2" x14ac:dyDescent="0.25">
      <c r="A15" s="8" t="s">
        <v>291</v>
      </c>
      <c r="B15" s="9">
        <v>25107843.960000001</v>
      </c>
    </row>
    <row r="16" spans="1:2" x14ac:dyDescent="0.25">
      <c r="A16" s="8" t="s">
        <v>438</v>
      </c>
      <c r="B16" s="9">
        <v>30679165.420000002</v>
      </c>
    </row>
    <row r="17" spans="1:2" x14ac:dyDescent="0.25">
      <c r="A17" s="8" t="s">
        <v>510</v>
      </c>
      <c r="B17" s="9">
        <v>37463150.299999997</v>
      </c>
    </row>
    <row r="18" spans="1:2" x14ac:dyDescent="0.25">
      <c r="A18" s="8" t="s">
        <v>310</v>
      </c>
      <c r="B18" s="9">
        <v>84243777.629999995</v>
      </c>
    </row>
    <row r="19" spans="1:2" x14ac:dyDescent="0.25">
      <c r="A19" s="8" t="s">
        <v>131</v>
      </c>
      <c r="B19" s="9">
        <v>97415941.840000004</v>
      </c>
    </row>
    <row r="20" spans="1:2" x14ac:dyDescent="0.25">
      <c r="A20" s="8" t="s">
        <v>566</v>
      </c>
      <c r="B20" s="9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97DC-83EE-4495-B1C6-79CBB27875EC}">
  <dimension ref="A1:C17"/>
  <sheetViews>
    <sheetView workbookViewId="0">
      <selection sqref="A1:C17"/>
    </sheetView>
  </sheetViews>
  <sheetFormatPr defaultRowHeight="15" x14ac:dyDescent="0.25"/>
  <cols>
    <col min="1" max="1" width="57.42578125" bestFit="1" customWidth="1"/>
    <col min="2" max="2" width="16.85546875" bestFit="1" customWidth="1"/>
    <col min="3" max="3" width="13.42578125" bestFit="1" customWidth="1"/>
  </cols>
  <sheetData>
    <row r="1" spans="1:3" x14ac:dyDescent="0.25">
      <c r="A1" s="3" t="s">
        <v>3</v>
      </c>
      <c r="B1" s="3" t="s">
        <v>563</v>
      </c>
      <c r="C1" s="3" t="s">
        <v>564</v>
      </c>
    </row>
    <row r="2" spans="1:3" x14ac:dyDescent="0.25">
      <c r="A2" s="4" t="s">
        <v>12</v>
      </c>
      <c r="B2" s="5">
        <f>SUMIF('despesa_funcao (1)'!$D$1:$D$444,Planilha1!A2,'despesa_funcao (1)'!$K$1:$K$444)</f>
        <v>67673.06</v>
      </c>
      <c r="C2" s="6">
        <f>COUNTIF('despesa_funcao (1)'!D1:D444,Planilha1!A2)</f>
        <v>1</v>
      </c>
    </row>
    <row r="3" spans="1:3" x14ac:dyDescent="0.25">
      <c r="A3" s="4" t="s">
        <v>18</v>
      </c>
      <c r="B3" s="5">
        <f>SUMIF('despesa_funcao (1)'!$D$1:$D$444,Planilha1!A3,'despesa_funcao (1)'!$K$1:$K$444)</f>
        <v>3049447.7499999995</v>
      </c>
      <c r="C3" s="6">
        <f>COUNTIF('despesa_funcao (1)'!D2:D445,Planilha1!A3)</f>
        <v>21</v>
      </c>
    </row>
    <row r="4" spans="1:3" x14ac:dyDescent="0.25">
      <c r="A4" s="4" t="s">
        <v>52</v>
      </c>
      <c r="B4" s="5">
        <f>SUMIF('despesa_funcao (1)'!$D$1:$D$444,Planilha1!A4,'despesa_funcao (1)'!$K$1:$K$444)</f>
        <v>1182770.0299999998</v>
      </c>
      <c r="C4" s="6">
        <f>COUNTIF('despesa_funcao (1)'!D3:D446,Planilha1!A4)</f>
        <v>16</v>
      </c>
    </row>
    <row r="5" spans="1:3" x14ac:dyDescent="0.25">
      <c r="A5" s="4" t="s">
        <v>74</v>
      </c>
      <c r="B5" s="5">
        <f>SUMIF('despesa_funcao (1)'!$D$1:$D$444,Planilha1!A5,'despesa_funcao (1)'!$K$1:$K$444)</f>
        <v>8665883.370000001</v>
      </c>
      <c r="C5" s="6">
        <f>COUNTIF('despesa_funcao (1)'!D4:D447,Planilha1!A5)</f>
        <v>16</v>
      </c>
    </row>
    <row r="6" spans="1:3" x14ac:dyDescent="0.25">
      <c r="A6" s="4" t="s">
        <v>92</v>
      </c>
      <c r="B6" s="5">
        <f>SUMIF('despesa_funcao (1)'!$D$1:$D$444,Planilha1!A6,'despesa_funcao (1)'!$K$1:$K$444)</f>
        <v>1644914.53</v>
      </c>
      <c r="C6" s="6">
        <f>COUNTIF('despesa_funcao (1)'!D5:D448,Planilha1!A6)</f>
        <v>16</v>
      </c>
    </row>
    <row r="7" spans="1:3" x14ac:dyDescent="0.25">
      <c r="A7" s="4" t="s">
        <v>115</v>
      </c>
      <c r="B7" s="5">
        <f>SUMIF('despesa_funcao (1)'!$D$1:$D$444,Planilha1!A7,'despesa_funcao (1)'!$K$1:$K$444)</f>
        <v>2361341.12</v>
      </c>
      <c r="C7" s="6">
        <f>COUNTIF('despesa_funcao (1)'!D6:D449,Planilha1!A7)</f>
        <v>13</v>
      </c>
    </row>
    <row r="8" spans="1:3" x14ac:dyDescent="0.25">
      <c r="A8" s="4" t="s">
        <v>131</v>
      </c>
      <c r="B8" s="5">
        <f>SUMIF('despesa_funcao (1)'!$D$1:$D$444,Planilha1!A8,'despesa_funcao (1)'!$K$1:$K$444)</f>
        <v>97415941.840000004</v>
      </c>
      <c r="C8" s="6">
        <f>COUNTIF('despesa_funcao (1)'!D7:D450,Planilha1!A8)</f>
        <v>88</v>
      </c>
    </row>
    <row r="9" spans="1:3" x14ac:dyDescent="0.25">
      <c r="A9" s="4" t="s">
        <v>236</v>
      </c>
      <c r="B9" s="5">
        <f>SUMIF('despesa_funcao (1)'!$D$1:$D$444,Planilha1!A9,'despesa_funcao (1)'!$K$1:$K$444)</f>
        <v>5975771.5599999996</v>
      </c>
      <c r="C9" s="6">
        <f>COUNTIF('despesa_funcao (1)'!D8:D451,Planilha1!A9)</f>
        <v>23</v>
      </c>
    </row>
    <row r="10" spans="1:3" x14ac:dyDescent="0.25">
      <c r="A10" s="4" t="s">
        <v>262</v>
      </c>
      <c r="B10" s="5">
        <f>SUMIF('despesa_funcao (1)'!$D$1:$D$444,Planilha1!A10,'despesa_funcao (1)'!$K$1:$K$444)</f>
        <v>8654354.950000003</v>
      </c>
      <c r="C10" s="6">
        <f>COUNTIF('despesa_funcao (1)'!D9:D452,Planilha1!A10)</f>
        <v>25</v>
      </c>
    </row>
    <row r="11" spans="1:3" x14ac:dyDescent="0.25">
      <c r="A11" s="4" t="s">
        <v>291</v>
      </c>
      <c r="B11" s="5">
        <f>SUMIF('despesa_funcao (1)'!$D$1:$D$444,Planilha1!A11,'despesa_funcao (1)'!$K$1:$K$444)</f>
        <v>25107843.960000001</v>
      </c>
      <c r="C11" s="6">
        <f>COUNTIF('despesa_funcao (1)'!D10:D453,Planilha1!A11)</f>
        <v>15</v>
      </c>
    </row>
    <row r="12" spans="1:3" x14ac:dyDescent="0.25">
      <c r="A12" s="4" t="s">
        <v>310</v>
      </c>
      <c r="B12" s="5">
        <f>SUMIF('despesa_funcao (1)'!$D$1:$D$444,Planilha1!A12,'despesa_funcao (1)'!$K$1:$K$444)</f>
        <v>84243777.629999995</v>
      </c>
      <c r="C12" s="6">
        <f>COUNTIF('despesa_funcao (1)'!D11:D454,Planilha1!A12)</f>
        <v>115</v>
      </c>
    </row>
    <row r="13" spans="1:3" x14ac:dyDescent="0.25">
      <c r="A13" s="4" t="s">
        <v>438</v>
      </c>
      <c r="B13" s="5">
        <f>SUMIF('despesa_funcao (1)'!$D$1:$D$444,Planilha1!A13,'despesa_funcao (1)'!$K$1:$K$444)</f>
        <v>30679165.420000002</v>
      </c>
      <c r="C13" s="6">
        <f>COUNTIF('despesa_funcao (1)'!D12:D455,Planilha1!A13)</f>
        <v>22</v>
      </c>
    </row>
    <row r="14" spans="1:3" x14ac:dyDescent="0.25">
      <c r="A14" s="4" t="s">
        <v>464</v>
      </c>
      <c r="B14" s="5">
        <f>SUMIF('despesa_funcao (1)'!$D$1:$D$444,Planilha1!A14,'despesa_funcao (1)'!$K$1:$K$444)</f>
        <v>474178.14999999997</v>
      </c>
      <c r="C14" s="6">
        <f>COUNTIF('despesa_funcao (1)'!D13:D456,Planilha1!A14)</f>
        <v>14</v>
      </c>
    </row>
    <row r="15" spans="1:3" x14ac:dyDescent="0.25">
      <c r="A15" s="4" t="s">
        <v>486</v>
      </c>
      <c r="B15" s="5">
        <f>SUMIF('despesa_funcao (1)'!$D$1:$D$444,Planilha1!A15,'despesa_funcao (1)'!$K$1:$K$444)</f>
        <v>5438913.9299999978</v>
      </c>
      <c r="C15" s="6">
        <f>COUNTIF('despesa_funcao (1)'!D14:D457,Planilha1!A15)</f>
        <v>21</v>
      </c>
    </row>
    <row r="16" spans="1:3" x14ac:dyDescent="0.25">
      <c r="A16" s="4" t="s">
        <v>510</v>
      </c>
      <c r="B16" s="5">
        <f>SUMIF('despesa_funcao (1)'!$D$1:$D$444,Planilha1!A16,'despesa_funcao (1)'!$K$1:$K$444)</f>
        <v>37463150.299999997</v>
      </c>
      <c r="C16" s="6">
        <f>COUNTIF('despesa_funcao (1)'!D15:D458,Planilha1!A16)</f>
        <v>24</v>
      </c>
    </row>
    <row r="17" spans="1:3" x14ac:dyDescent="0.25">
      <c r="A17" s="4" t="s">
        <v>548</v>
      </c>
      <c r="B17" s="5">
        <f>SUMIF('despesa_funcao (1)'!$D$1:$D$444,Planilha1!A17,'despesa_funcao (1)'!$K$1:$K$444)</f>
        <v>924217.23</v>
      </c>
      <c r="C17" s="6">
        <f>COUNTIF('despesa_funcao (1)'!D16:D459,Planilha1!A17)</f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 (1)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2026-03-14T00:07:52Z</dcterms:created>
  <dcterms:modified xsi:type="dcterms:W3CDTF">2026-03-14T00:52:49Z</dcterms:modified>
</cp:coreProperties>
</file>